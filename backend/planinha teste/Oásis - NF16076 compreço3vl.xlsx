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 activeTab="2"/>
  </bookViews>
  <sheets>
    <sheet name="Nota" sheetId="1" r:id="rId1"/>
    <sheet name="Conferência" sheetId="2" r:id="rId2"/>
    <sheet name="PREÇ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<sst xmlns="http://schemas.openxmlformats.org/spreadsheetml/2006/main" count="67" uniqueCount="41">
  <si>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DESCRICAO</t>
  </si>
  <si>
    <t>CONFERIR</t>
  </si>
  <si>
    <t>UNID.</t>
  </si>
  <si>
    <t>QUANT.</t>
  </si>
  <si>
    <t>Q. CX</t>
  </si>
  <si>
    <t>PRECO UNIT.</t>
  </si>
  <si>
    <t>DESCONTO</t>
  </si>
  <si>
    <t>PRECO</t>
  </si>
  <si>
    <t>TOTAL</t>
  </si>
  <si>
    <t>APARADOR DE PELOS PARA NARIZ 34*129■:OIH-5400</t>
  </si>
  <si>
    <t>200</t>
  </si>
  <si>
    <t>1CX</t>
  </si>
  <si>
    <t>LUVA DE SILICONE PARA BANHO DE PETS:OIP-1700</t>
  </si>
  <si>
    <t>OIH-2948</t>
  </si>
  <si>
    <t>NV/RE</t>
  </si>
  <si>
    <t>Unid</t>
  </si>
  <si>
    <t>Quant</t>
  </si>
  <si>
    <t>Caixa</t>
  </si>
  <si>
    <t>CUSTO</t>
  </si>
  <si>
    <t>Preço Total</t>
  </si>
  <si>
    <t>Cód. De Barra</t>
  </si>
  <si>
    <t>Caixas</t>
  </si>
  <si>
    <t>VAREJO</t>
  </si>
  <si>
    <t>APARADOR DE PELOS PARA NARIZ 34*129 OIH-5400</t>
  </si>
  <si>
    <t>RE</t>
  </si>
  <si>
    <t>LUVA DE SILICONE PARA BANHO DE PETS OIP-1700</t>
  </si>
  <si>
    <t>NV</t>
  </si>
  <si>
    <t>7898766442522</t>
  </si>
  <si>
    <t>MOP GIRATÓRIO COM BALDE OIH-2948</t>
  </si>
  <si>
    <t>7901029806457</t>
  </si>
  <si>
    <t>fornecedor</t>
  </si>
  <si>
    <t>venda</t>
  </si>
  <si>
    <t>frete</t>
  </si>
  <si>
    <t>icms</t>
  </si>
  <si>
    <t>lucro</t>
  </si>
  <si>
    <t>receita</t>
  </si>
  <si>
    <t>mkp</t>
  </si>
  <si>
    <t>custo</t>
  </si>
  <si>
    <t>ATACADO</t>
  </si>
  <si>
    <t>LOJA</t>
  </si>
  <si>
    <t>ESTOQUE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</si>
</sst>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R$ -416]#,##0.00"/>
  </numFmts>
  <fonts count="29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4" tint="-0.25"/>
      <name val="Calibri"/>
      <charset val="134"/>
    </font>
    <font>
      <sz val="10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0" xfId="0" applyNumberFormat="1" applyFont="1" applyFill="1"/>
    <xf numFmtId="0" fontId="1" fillId="0" borderId="0" xfId="0" applyNumberFormat="1" applyFont="1"/>
    <xf numFmtId="0" fontId="1" fillId="3" borderId="0" xfId="0" applyNumberFormat="1" applyFont="1" applyFill="1"/>
    <xf numFmtId="0" fontId="2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0" fontId="6" fillId="0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zoomScale="75" zoomScaleNormal="75" workbookViewId="0">
      <selection activeCell="A1" sqref="A1:I6"/>
    </sheetView>
  </sheetViews>
  <sheetFormatPr defaultColWidth="9" defaultRowHeight="14.4" outlineLevelRow="6"/>
  <cols>
    <col min="1" max="1" width="41.1666666666667" style="18" customWidth="1"/>
    <col min="2" max="2" width="7" style="18" customWidth="1"/>
    <col min="3" max="3" width="6.83333333333333" style="18" customWidth="1"/>
    <col min="4" max="4" width="9" style="18" customWidth="1"/>
    <col min="5" max="5" width="6.33333333333333" style="18" customWidth="1"/>
    <col min="6" max="6" width="11" style="18" customWidth="1"/>
    <col min="7" max="7" width="9.5" style="18" customWidth="1"/>
    <col min="8" max="8" width="7.16666666666667" style="18" customWidth="1"/>
    <col min="9" max="9" width="11" style="18" customWidth="1"/>
    <col min="10" max="16384" width="44" style="18"/>
  </cols>
  <sheetData>
    <row r="1" spans="1:1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</row>
    <row r="2" spans="1:10">
      <c r="A2" s="19" t="s">
        <v>9</v>
      </c>
      <c r="B2" s="19"/>
      <c r="C2" s="19" t="s">
        <v>10</v>
      </c>
      <c r="D2" s="19" t="s">
        <v>10</v>
      </c>
      <c r="E2" s="19" t="s">
        <v>11</v>
      </c>
      <c r="F2" s="19">
        <v>7.6</v>
      </c>
      <c r="G2" s="19">
        <v>0.93</v>
      </c>
      <c r="H2" s="19">
        <v>7.07</v>
      </c>
      <c r="I2" s="21">
        <v>1413.6</v>
      </c>
    </row>
    <row r="3" spans="1:10">
      <c r="I3" s="21" t="s">
        <v>8</v>
      </c>
    </row>
    <row r="4" spans="1:10">
      <c r="A4" s="20" t="s">
        <v>12</v>
      </c>
      <c r="B4" s="20"/>
      <c r="C4" s="20">
        <v>60</v>
      </c>
      <c r="D4" s="20">
        <v>60</v>
      </c>
      <c r="E4" s="20" t="s">
        <v>11</v>
      </c>
      <c r="F4" s="20">
        <v>20</v>
      </c>
      <c r="G4" s="20">
        <v>0.93</v>
      </c>
      <c r="H4" s="20">
        <v>18.6</v>
      </c>
      <c r="I4" s="21">
        <v>1116</v>
      </c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21" t="s">
        <v>8</v>
      </c>
      <c r="J5" s="17"/>
    </row>
    <row r="6" s="17" customFormat="1" spans="1:10">
      <c r="A6" s="20" t="s">
        <v>13</v>
      </c>
      <c r="B6" s="20"/>
      <c r="C6" s="20">
        <v>20</v>
      </c>
      <c r="D6" s="20">
        <v>20</v>
      </c>
      <c r="E6" s="20" t="s">
        <v>11</v>
      </c>
      <c r="F6" s="20">
        <v>49</v>
      </c>
      <c r="G6" s="20">
        <v>0.93</v>
      </c>
      <c r="H6" s="20">
        <v>45.57</v>
      </c>
      <c r="I6" s="21">
        <v>911.4</v>
      </c>
    </row>
    <row r="7" spans="1:10">
      <c r="I7" s="21" t="s">
        <v>8</v>
      </c>
    </row>
  </sheetData>
  <pageMargins left="0.75" right="0.75" top="1" bottom="1" header="0.5" footer="0.5"/>
  <headerFooter/>
  <ignoredErrors>
    <ignoredError sqref="C1:F1 H1 A2:E2 A1 A3: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75" zoomScaleNormal="75" workbookViewId="0">
      <selection activeCell="A1" sqref="$A1:$XFD1048576"/>
    </sheetView>
  </sheetViews>
  <sheetFormatPr defaultColWidth="9" defaultRowHeight="20" customHeight="1"/>
  <cols>
    <col min="1" max="1" width="39" style="10" customWidth="1"/>
    <col min="2" max="2" width="7.66666666666667" style="11" customWidth="1"/>
    <col min="3" max="7" width="9" style="11" customWidth="1"/>
    <col min="8" max="8" width="14.9333333333333" style="10" customWidth="1"/>
    <col min="9" max="11" width="7.06666666666667" style="10" customWidth="1"/>
    <col min="12" max="16384" width="9" style="11"/>
  </cols>
  <sheetData>
    <row r="1" customHeight="1" spans="1:16">
      <c r="A1" s="3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9" t="s">
        <v>19</v>
      </c>
      <c r="H1" s="3" t="s">
        <v>20</v>
      </c>
      <c r="I1" s="3" t="s">
        <v>21</v>
      </c>
      <c r="J1" s="3" t="s">
        <v>15</v>
      </c>
      <c r="K1" s="3" t="s">
        <v>16</v>
      </c>
      <c r="O1" s="12" t="s">
        <v>22</v>
      </c>
    </row>
    <row r="2" customHeight="1" spans="1:16">
      <c r="A2" s="3" t="s">
        <v>23</v>
      </c>
      <c r="B2" s="4" t="s">
        <v>24</v>
      </c>
      <c r="C2" s="4">
        <v>200</v>
      </c>
      <c r="D2" s="4">
        <v>200</v>
      </c>
      <c r="E2" s="4" t="s">
        <v>11</v>
      </c>
      <c r="F2" s="4">
        <v>7.07</v>
      </c>
      <c r="G2" s="9">
        <v>1413.6</v>
      </c>
      <c r="H2" s="3"/>
      <c r="I2" s="3">
        <f>1</f>
        <v>1</v>
      </c>
      <c r="J2" s="3">
        <v>200</v>
      </c>
      <c r="K2" s="3">
        <f>I2*J2</f>
        <v>200</v>
      </c>
      <c r="L2" s="11">
        <f>F2*D2</f>
        <v>1414</v>
      </c>
      <c r="M2" s="11">
        <f>G2-L2</f>
        <v>-0.400000000000091</v>
      </c>
      <c r="N2" s="11">
        <f>F2*1.9</f>
        <v>13.433</v>
      </c>
      <c r="O2" s="12">
        <v>13</v>
      </c>
      <c r="P2" s="11">
        <f>O2*D2</f>
        <v>2600</v>
      </c>
    </row>
    <row r="3" customHeight="1" spans="1:16">
      <c r="A3" s="8" t="s">
        <v>25</v>
      </c>
      <c r="B3" s="13" t="s">
        <v>26</v>
      </c>
      <c r="C3" s="9">
        <v>60</v>
      </c>
      <c r="D3" s="9">
        <v>60</v>
      </c>
      <c r="E3" s="9" t="s">
        <v>11</v>
      </c>
      <c r="F3" s="9">
        <v>18.6</v>
      </c>
      <c r="G3" s="9">
        <v>1116</v>
      </c>
      <c r="H3" s="22" t="s">
        <v>27</v>
      </c>
      <c r="I3" s="3">
        <f>1</f>
        <v>1</v>
      </c>
      <c r="J3" s="3">
        <v>60</v>
      </c>
      <c r="K3" s="3">
        <f>I3*J3</f>
        <v>60</v>
      </c>
      <c r="L3" s="11">
        <f>F3*D3</f>
        <v>1116</v>
      </c>
      <c r="M3" s="11">
        <f>G3-L3</f>
        <v>0</v>
      </c>
      <c r="N3" s="11">
        <f>F3*1.9</f>
        <v>35.34</v>
      </c>
      <c r="O3" s="12">
        <v>35.5</v>
      </c>
      <c r="P3" s="11">
        <f>O3*D3</f>
        <v>2130</v>
      </c>
    </row>
    <row r="4" customHeight="1" spans="1:16">
      <c r="A4" s="8" t="s">
        <v>28</v>
      </c>
      <c r="B4" s="13" t="s">
        <v>26</v>
      </c>
      <c r="C4" s="9">
        <v>20</v>
      </c>
      <c r="D4" s="9">
        <v>20</v>
      </c>
      <c r="E4" s="9" t="s">
        <v>11</v>
      </c>
      <c r="F4" s="9">
        <v>45.57</v>
      </c>
      <c r="G4" s="9">
        <v>911.4</v>
      </c>
      <c r="H4" s="22" t="s">
        <v>29</v>
      </c>
      <c r="I4" s="3">
        <f>1</f>
        <v>1</v>
      </c>
      <c r="J4" s="3">
        <v>20</v>
      </c>
      <c r="K4" s="3">
        <f>I4*J4</f>
        <v>20</v>
      </c>
      <c r="L4" s="11">
        <f>F4*D4</f>
        <v>911.4</v>
      </c>
      <c r="M4" s="11">
        <f>G4-L4</f>
        <v>0</v>
      </c>
      <c r="N4" s="11">
        <f>F4*1.9</f>
        <v>86.583</v>
      </c>
      <c r="O4" s="12">
        <v>87</v>
      </c>
      <c r="P4" s="11">
        <f>O4*D4</f>
        <v>1740</v>
      </c>
    </row>
    <row r="5" customHeight="1" spans="1:16">
      <c r="F5" s="14" t="s">
        <v>8</v>
      </c>
      <c r="G5" s="14">
        <f>G4+G3+G2</f>
        <v>3441</v>
      </c>
    </row>
    <row r="7" customHeight="1" spans="1:16">
      <c r="C7" s="15" t="s">
        <v>30</v>
      </c>
      <c r="D7" s="15">
        <v>3441</v>
      </c>
      <c r="E7" s="15" t="s">
        <v>31</v>
      </c>
      <c r="F7" s="15">
        <v>6460</v>
      </c>
    </row>
    <row r="8" customHeight="1" spans="1:16">
      <c r="C8" s="15" t="s">
        <v>32</v>
      </c>
      <c r="D8" s="16">
        <v>243.87</v>
      </c>
      <c r="E8" s="15"/>
      <c r="F8" s="15">
        <f>F7-D11</f>
        <v>2231.64</v>
      </c>
    </row>
    <row r="9" customHeight="1" spans="1:16">
      <c r="C9" s="15" t="s">
        <v>33</v>
      </c>
      <c r="D9" s="15">
        <v>155.89</v>
      </c>
      <c r="E9" s="15" t="s">
        <v>34</v>
      </c>
      <c r="F9" s="15">
        <f>F8/F7</f>
        <v>0.345455108359133</v>
      </c>
    </row>
    <row r="10" customHeight="1" spans="1:16">
      <c r="C10" s="15" t="s">
        <v>35</v>
      </c>
      <c r="D10" s="15">
        <f>F7*0.06</f>
        <v>387.6</v>
      </c>
      <c r="E10" s="15" t="s">
        <v>36</v>
      </c>
      <c r="F10" s="15">
        <v>1.9</v>
      </c>
    </row>
    <row r="11" customHeight="1" spans="1:16">
      <c r="C11" s="15" t="s">
        <v>37</v>
      </c>
      <c r="D11" s="15">
        <v>4228.36</v>
      </c>
      <c r="E11" s="15"/>
      <c r="F11" s="15">
        <v>1.8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C12" sqref="C12"/>
    </sheetView>
  </sheetViews>
  <sheetFormatPr defaultColWidth="9" defaultRowHeight="20" customHeight="1" outlineLevelRow="3"/>
  <cols>
    <col min="1" max="1" width="39" style="2" customWidth="1"/>
    <col min="2" max="2" width="9" style="1" hidden="1" customWidth="1"/>
    <col min="3" max="3" width="13.5" style="2" customWidth="1"/>
    <col min="4" max="6" width="6.2" style="2" customWidth="1"/>
    <col min="7" max="7" width="9" style="1" hidden="1" customWidth="1"/>
    <col min="8" max="11" width="7.6" style="1" customWidth="1"/>
    <col min="12" max="16384" width="9" style="1"/>
  </cols>
  <sheetData>
    <row r="1" s="1" customFormat="1" customHeight="1" spans="1:11">
      <c r="A1" s="3" t="s">
        <v>0</v>
      </c>
      <c r="B1" s="4" t="s">
        <v>18</v>
      </c>
      <c r="C1" s="3" t="s">
        <v>20</v>
      </c>
      <c r="D1" s="3" t="s">
        <v>21</v>
      </c>
      <c r="E1" s="3" t="s">
        <v>15</v>
      </c>
      <c r="F1" s="3" t="s">
        <v>16</v>
      </c>
      <c r="G1" s="5"/>
      <c r="H1" s="6" t="s">
        <v>22</v>
      </c>
      <c r="I1" s="5" t="s">
        <v>38</v>
      </c>
      <c r="J1" s="7" t="s">
        <v>39</v>
      </c>
      <c r="K1" s="5" t="s">
        <v>40</v>
      </c>
    </row>
    <row r="2" s="1" customFormat="1" customHeight="1" spans="1:11">
      <c r="A2" s="3" t="s">
        <v>23</v>
      </c>
      <c r="B2" s="4">
        <v>7.07</v>
      </c>
      <c r="C2" s="3"/>
      <c r="D2" s="3">
        <f>1</f>
        <v>1</v>
      </c>
      <c r="E2" s="3">
        <v>200</v>
      </c>
      <c r="F2" s="3">
        <f>D2*E2</f>
        <v>200</v>
      </c>
      <c r="G2" s="5">
        <f>B2*1.9</f>
        <v>13.433</v>
      </c>
      <c r="H2" s="6">
        <v>13</v>
      </c>
      <c r="I2" s="5">
        <f>H2*0.9</f>
        <v>11.7</v>
      </c>
      <c r="J2" s="7"/>
      <c r="K2" s="5"/>
    </row>
    <row r="3" s="1" customFormat="1" customHeight="1" spans="1:11">
      <c r="A3" s="8" t="s">
        <v>25</v>
      </c>
      <c r="B3" s="9">
        <v>18.6</v>
      </c>
      <c r="C3" s="22" t="s">
        <v>27</v>
      </c>
      <c r="D3" s="3">
        <f>1</f>
        <v>1</v>
      </c>
      <c r="E3" s="3">
        <v>60</v>
      </c>
      <c r="F3" s="3">
        <f>D3*E3</f>
        <v>60</v>
      </c>
      <c r="G3" s="5">
        <f>B3*1.9</f>
        <v>35.34</v>
      </c>
      <c r="H3" s="6">
        <v>35.5</v>
      </c>
      <c r="I3" s="5">
        <f>H3*0.9</f>
        <v>31.95</v>
      </c>
      <c r="J3" s="7"/>
      <c r="K3" s="5"/>
    </row>
    <row r="4" s="1" customFormat="1" customHeight="1" spans="1:11">
      <c r="A4" s="8" t="s">
        <v>28</v>
      </c>
      <c r="B4" s="9">
        <v>45.57</v>
      </c>
      <c r="C4" s="22" t="s">
        <v>29</v>
      </c>
      <c r="D4" s="3">
        <f>1</f>
        <v>1</v>
      </c>
      <c r="E4" s="3">
        <v>20</v>
      </c>
      <c r="F4" s="3">
        <f>D4*E4</f>
        <v>20</v>
      </c>
      <c r="G4" s="5">
        <f>B4*1.9</f>
        <v>86.583</v>
      </c>
      <c r="H4" s="6">
        <v>87</v>
      </c>
      <c r="I4" s="5">
        <f>H4*0.9</f>
        <v>78.3</v>
      </c>
      <c r="J4" s="7"/>
      <c r="K4" s="5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Nota</vt:lpstr>
      <vt:lpstr>Conferência</vt:lpstr>
      <vt:lpstr>PREÇO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</cp:lastModifiedBy>
  <dcterms:created xsi:type="dcterms:W3CDTF">2026-04-14T16:15:00Z</dcterms:created>
  <dcterms:modified xsi:type="dcterms:W3CDTF">2026-04-23T22:22:38Z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3F4BFC0D83FB4A459204E5FF19E688F3_13</vt:lpwstr>
  </property>
  <property fmtid="{D5CDD505-2E9C-101B-9397-08002B2CF9AE}" pid="3" name="KSOProductBuildVer">
    <vt:lpwstr>1046-12.1.0.25862</vt:lpwstr>
  </property>
  <property fmtid="{D5CDD505-2E9C-101B-9397-08002B2CF9AE}" pid="4" name="CalculationRule">
    <vt:i4>0</vt:i4>
  </property>
</Properties>
</file>